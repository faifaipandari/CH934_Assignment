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darikluensuwan/Desktop/"/>
    </mc:Choice>
  </mc:AlternateContent>
  <xr:revisionPtr revIDLastSave="0" documentId="13_ncr:1_{163947C4-478A-4B42-99B1-23A2448256C0}" xr6:coauthVersionLast="47" xr6:coauthVersionMax="47" xr10:uidLastSave="{00000000-0000-0000-0000-000000000000}"/>
  <bookViews>
    <workbookView xWindow="0" yWindow="660" windowWidth="30240" windowHeight="17260" xr2:uid="{5412E260-D798-AC41-969B-25F053FC51DD}"/>
  </bookViews>
  <sheets>
    <sheet name="Benchmark Table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H17" i="1"/>
  <c r="I17" i="1" s="1"/>
  <c r="H16" i="1"/>
  <c r="I16" i="1" s="1"/>
  <c r="H13" i="1"/>
  <c r="H12" i="1"/>
  <c r="I12" i="1" s="1"/>
  <c r="H11" i="1"/>
  <c r="I11" i="1" s="1"/>
  <c r="H15" i="1"/>
  <c r="I15" i="1" s="1"/>
  <c r="H9" i="1"/>
  <c r="H8" i="1"/>
  <c r="H7" i="1"/>
  <c r="I7" i="1" s="1"/>
  <c r="E7" i="1"/>
  <c r="E4" i="1"/>
  <c r="E5" i="1"/>
  <c r="E8" i="1"/>
  <c r="E9" i="1"/>
  <c r="E11" i="1"/>
  <c r="E12" i="1"/>
  <c r="E13" i="1"/>
  <c r="E15" i="1"/>
  <c r="E16" i="1"/>
  <c r="E17" i="1"/>
  <c r="E3" i="1"/>
</calcChain>
</file>

<file path=xl/sharedStrings.xml><?xml version="1.0" encoding="utf-8"?>
<sst xmlns="http://schemas.openxmlformats.org/spreadsheetml/2006/main" count="42" uniqueCount="18">
  <si>
    <t>2 Cores</t>
  </si>
  <si>
    <t>ANTCEN</t>
  </si>
  <si>
    <t>PENCEN</t>
  </si>
  <si>
    <t>4 Cores</t>
  </si>
  <si>
    <t>8 Cores</t>
  </si>
  <si>
    <t>16 Cores</t>
  </si>
  <si>
    <t>No. of Atoms</t>
  </si>
  <si>
    <t>Execution Time (min)</t>
  </si>
  <si>
    <t>Speedup</t>
  </si>
  <si>
    <t>Memory (KB)</t>
  </si>
  <si>
    <t>Job ID</t>
  </si>
  <si>
    <t>Memory (GB)</t>
  </si>
  <si>
    <t>TETCEN</t>
  </si>
  <si>
    <t>Execution time (sec)</t>
  </si>
  <si>
    <t>Parellel Efficiency (%)</t>
  </si>
  <si>
    <t>Features</t>
  </si>
  <si>
    <t>No. of Cores</t>
  </si>
  <si>
    <t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</si>
</sst>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</font>
    <font>
      <sz val="10"/>
      <color rgb="FF000000"/>
      <name val="Aptos"/>
    </font>
    <font>
      <b/>
      <sz val="10"/>
      <color theme="1"/>
      <name val="Aptos"/>
    </font>
    <font>
      <b/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Effect of CPU Core Count on Execution Time</a:t>
            </a:r>
          </a:p>
        </c:rich>
      </c:tx>
      <c:layout>
        <c:manualLayout>
          <c:xMode val="edge"/>
          <c:yMode val="edge"/>
          <c:x val="0.33144254027070147"/>
          <c:y val="4.2483660130718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68099575788319"/>
          <c:y val="0.14591503267973857"/>
          <c:w val="0.84977745428880214"/>
          <c:h val="0.58017420616540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Graph!$C$1</c:f>
              <c:strCache>
                <c:ptCount val="1"/>
                <c:pt idx="0">
                  <c:v>No. of Atoms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Graph!$A$2:$B$13</c:f>
              <c:multiLvlStrCache>
                <c:ptCount val="12"/>
                <c:lvl>
                  <c:pt idx="0">
                    <c:v>ANTCEN</c:v>
                  </c:pt>
                  <c:pt idx="1">
                    <c:v>PENCEN</c:v>
                  </c:pt>
                  <c:pt idx="2">
                    <c:v>TETCEN</c:v>
                  </c:pt>
                  <c:pt idx="3">
                    <c:v>ANTCEN</c:v>
                  </c:pt>
                  <c:pt idx="4">
                    <c:v>PENCEN</c:v>
                  </c:pt>
                  <c:pt idx="5">
                    <c:v>TETCEN</c:v>
                  </c:pt>
                  <c:pt idx="6">
                    <c:v>ANTCEN</c:v>
                  </c:pt>
                  <c:pt idx="7">
                    <c:v>PENCEN</c:v>
                  </c:pt>
                  <c:pt idx="8">
                    <c:v>TETCEN</c:v>
                  </c:pt>
                  <c:pt idx="9">
                    <c:v>ANTCEN</c:v>
                  </c:pt>
                  <c:pt idx="10">
                    <c:v>PENCEN</c:v>
                  </c:pt>
                  <c:pt idx="11">
                    <c:v>TETCEN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4</c:v>
                  </c:pt>
                  <c:pt idx="4">
                    <c:v>4</c:v>
                  </c:pt>
                  <c:pt idx="5">
                    <c:v>4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</c:lvl>
              </c:multiLvlStrCache>
            </c:multiLvlStrRef>
          </c:cat>
          <c:val>
            <c:numRef>
              <c:f>Graph!$C$2:$C$13</c:f>
              <c:numCache>
                <c:formatCode>General</c:formatCode>
                <c:ptCount val="12"/>
                <c:pt idx="0">
                  <c:v>24</c:v>
                </c:pt>
                <c:pt idx="1">
                  <c:v>36</c:v>
                </c:pt>
                <c:pt idx="2">
                  <c:v>30</c:v>
                </c:pt>
                <c:pt idx="3">
                  <c:v>24</c:v>
                </c:pt>
                <c:pt idx="4">
                  <c:v>36</c:v>
                </c:pt>
                <c:pt idx="5">
                  <c:v>30</c:v>
                </c:pt>
                <c:pt idx="6">
                  <c:v>24</c:v>
                </c:pt>
                <c:pt idx="7">
                  <c:v>36</c:v>
                </c:pt>
                <c:pt idx="8">
                  <c:v>30</c:v>
                </c:pt>
                <c:pt idx="9">
                  <c:v>24</c:v>
                </c:pt>
                <c:pt idx="10">
                  <c:v>36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6-2E43-A49E-C27C7ECF03B9}"/>
            </c:ext>
          </c:extLst>
        </c:ser>
        <c:ser>
          <c:idx val="1"/>
          <c:order val="1"/>
          <c:tx>
            <c:strRef>
              <c:f>Graph!$E$1</c:f>
              <c:strCache>
                <c:ptCount val="1"/>
                <c:pt idx="0">
                  <c:v>Execution time (sec)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Graph!$A$2:$B$13</c:f>
              <c:multiLvlStrCache>
                <c:ptCount val="12"/>
                <c:lvl>
                  <c:pt idx="0">
                    <c:v>ANTCEN</c:v>
                  </c:pt>
                  <c:pt idx="1">
                    <c:v>PENCEN</c:v>
                  </c:pt>
                  <c:pt idx="2">
                    <c:v>TETCEN</c:v>
                  </c:pt>
                  <c:pt idx="3">
                    <c:v>ANTCEN</c:v>
                  </c:pt>
                  <c:pt idx="4">
                    <c:v>PENCEN</c:v>
                  </c:pt>
                  <c:pt idx="5">
                    <c:v>TETCEN</c:v>
                  </c:pt>
                  <c:pt idx="6">
                    <c:v>ANTCEN</c:v>
                  </c:pt>
                  <c:pt idx="7">
                    <c:v>PENCEN</c:v>
                  </c:pt>
                  <c:pt idx="8">
                    <c:v>TETCEN</c:v>
                  </c:pt>
                  <c:pt idx="9">
                    <c:v>ANTCEN</c:v>
                  </c:pt>
                  <c:pt idx="10">
                    <c:v>PENCEN</c:v>
                  </c:pt>
                  <c:pt idx="11">
                    <c:v>TETCEN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4</c:v>
                  </c:pt>
                  <c:pt idx="4">
                    <c:v>4</c:v>
                  </c:pt>
                  <c:pt idx="5">
                    <c:v>4</c:v>
                  </c:pt>
                  <c:pt idx="6">
                    <c:v>8</c:v>
                  </c:pt>
                  <c:pt idx="7">
                    <c:v>8</c:v>
                  </c:pt>
                  <c:pt idx="8">
                    <c:v>8</c:v>
                  </c:pt>
                  <c:pt idx="9">
                    <c:v>16</c:v>
                  </c:pt>
                  <c:pt idx="10">
                    <c:v>16</c:v>
                  </c:pt>
                  <c:pt idx="11">
                    <c:v>16</c:v>
                  </c:pt>
                </c:lvl>
              </c:multiLvlStrCache>
            </c:multiLvlStrRef>
          </c:cat>
          <c:val>
            <c:numRef>
              <c:f>Graph!$E$2:$E$13</c:f>
              <c:numCache>
                <c:formatCode>General</c:formatCode>
                <c:ptCount val="12"/>
                <c:pt idx="0">
                  <c:v>158</c:v>
                </c:pt>
                <c:pt idx="1">
                  <c:v>371</c:v>
                </c:pt>
                <c:pt idx="2">
                  <c:v>206</c:v>
                </c:pt>
                <c:pt idx="3">
                  <c:v>85</c:v>
                </c:pt>
                <c:pt idx="4">
                  <c:v>199</c:v>
                </c:pt>
                <c:pt idx="5">
                  <c:v>111</c:v>
                </c:pt>
                <c:pt idx="6">
                  <c:v>49</c:v>
                </c:pt>
                <c:pt idx="7">
                  <c:v>115</c:v>
                </c:pt>
                <c:pt idx="8">
                  <c:v>64</c:v>
                </c:pt>
                <c:pt idx="9">
                  <c:v>36</c:v>
                </c:pt>
                <c:pt idx="10">
                  <c:v>57</c:v>
                </c:pt>
                <c:pt idx="1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6-2E43-A49E-C27C7ECF0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2181952"/>
        <c:axId val="1162178368"/>
      </c:barChart>
      <c:catAx>
        <c:axId val="116218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CPU Cores</a:t>
                </a:r>
              </a:p>
            </c:rich>
          </c:tx>
          <c:layout>
            <c:manualLayout>
              <c:xMode val="edge"/>
              <c:yMode val="edge"/>
              <c:x val="0.44766021894322033"/>
              <c:y val="0.862483145489166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78368"/>
        <c:crosses val="autoZero"/>
        <c:auto val="1"/>
        <c:lblAlgn val="ctr"/>
        <c:lblOffset val="100"/>
        <c:noMultiLvlLbl val="0"/>
      </c:catAx>
      <c:valAx>
        <c:axId val="11621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(Second)</a:t>
                </a:r>
              </a:p>
            </c:rich>
          </c:tx>
          <c:layout>
            <c:manualLayout>
              <c:xMode val="edge"/>
              <c:yMode val="edge"/>
              <c:x val="3.7348272642390289E-2"/>
              <c:y val="0.2402259276413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8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914988567605518"/>
          <c:y val="0.92197673820184256"/>
          <c:w val="0.34576016233264961"/>
          <c:h val="5.9078276980083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14</xdr:row>
      <xdr:rowOff>38100</xdr:rowOff>
    </xdr:from>
    <xdr:to>
      <xdr:col>4</xdr:col>
      <xdr:colOff>1295400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985F1-895D-74A0-41D2-6117B86C2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70C2-C485-A84D-B584-55D69D6CAF7B}">
  <dimension ref="A1:J17"/>
  <sheetViews>
    <sheetView tabSelected="1" zoomScale="146" workbookViewId="0">
      <selection activeCell="E21" sqref="E21"/>
    </sheetView>
  </sheetViews>
  <sheetFormatPr baseColWidth="10" defaultRowHeight="16" x14ac:dyDescent="0.2"/>
  <cols>
    <col min="1" max="1" width="8.6640625" style="1" customWidth="1"/>
    <col min="2" max="2" width="7.6640625" style="1" customWidth="1"/>
    <col min="3" max="4" width="10.6640625" style="1" customWidth="1"/>
    <col min="5" max="5" width="11.33203125" style="1" customWidth="1"/>
    <col min="6" max="6" width="17.5" style="1" customWidth="1"/>
    <col min="7" max="7" width="16.6640625" style="1" customWidth="1"/>
    <col min="8" max="8" width="8.33203125" style="1" customWidth="1"/>
    <col min="9" max="9" width="17.83203125" style="1" customWidth="1"/>
    <col min="11" max="16384" width="10.83203125" style="1"/>
  </cols>
  <sheetData>
    <row r="1" spans="1:10" s="5" customFormat="1" ht="15" x14ac:dyDescent="0.2">
      <c r="A1" s="16" t="s">
        <v>15</v>
      </c>
      <c r="B1" s="16" t="s">
        <v>10</v>
      </c>
      <c r="C1" s="16" t="s">
        <v>6</v>
      </c>
      <c r="D1" s="16" t="s">
        <v>9</v>
      </c>
      <c r="E1" s="16" t="s">
        <v>11</v>
      </c>
      <c r="F1" s="16" t="s">
        <v>7</v>
      </c>
      <c r="G1" s="16" t="s">
        <v>13</v>
      </c>
      <c r="H1" s="16" t="s">
        <v>8</v>
      </c>
      <c r="I1" s="16" t="s">
        <v>14</v>
      </c>
      <c r="J1" s="4"/>
    </row>
    <row r="2" spans="1:10" x14ac:dyDescent="0.2">
      <c r="A2" s="17" t="s">
        <v>0</v>
      </c>
      <c r="B2" s="18"/>
      <c r="C2" s="18"/>
      <c r="D2" s="18"/>
      <c r="E2" s="18"/>
      <c r="F2" s="18"/>
      <c r="G2" s="18"/>
      <c r="H2" s="18"/>
      <c r="I2" s="19"/>
    </row>
    <row r="3" spans="1:10" x14ac:dyDescent="0.2">
      <c r="A3" s="6" t="s">
        <v>1</v>
      </c>
      <c r="B3" s="7">
        <v>7328826</v>
      </c>
      <c r="C3" s="7">
        <v>24</v>
      </c>
      <c r="D3" s="7">
        <v>1066492</v>
      </c>
      <c r="E3" s="7">
        <f>ROUND(D3/1048576, 2)</f>
        <v>1.02</v>
      </c>
      <c r="F3" s="8">
        <v>0.10972222222222222</v>
      </c>
      <c r="G3" s="7">
        <v>158</v>
      </c>
      <c r="H3" s="7">
        <v>1</v>
      </c>
      <c r="I3" s="9">
        <f>(H3/2)*100</f>
        <v>50</v>
      </c>
    </row>
    <row r="4" spans="1:10" x14ac:dyDescent="0.2">
      <c r="A4" s="6" t="s">
        <v>2</v>
      </c>
      <c r="B4" s="7">
        <v>7328828</v>
      </c>
      <c r="C4" s="7">
        <v>36</v>
      </c>
      <c r="D4" s="7">
        <v>4059976</v>
      </c>
      <c r="E4" s="7">
        <f t="shared" ref="E4:E17" si="0">ROUND(D4/1048576, 2)</f>
        <v>3.87</v>
      </c>
      <c r="F4" s="8">
        <v>0.25763888888888886</v>
      </c>
      <c r="G4" s="7">
        <v>371</v>
      </c>
      <c r="H4" s="7">
        <v>1</v>
      </c>
      <c r="I4" s="9">
        <f>(H4/2)*100</f>
        <v>50</v>
      </c>
    </row>
    <row r="5" spans="1:10" x14ac:dyDescent="0.2">
      <c r="A5" s="6" t="s">
        <v>12</v>
      </c>
      <c r="B5" s="7">
        <v>7328832</v>
      </c>
      <c r="C5" s="7">
        <v>30</v>
      </c>
      <c r="D5" s="7">
        <v>1973156</v>
      </c>
      <c r="E5" s="7">
        <f t="shared" si="0"/>
        <v>1.88</v>
      </c>
      <c r="F5" s="8">
        <v>0.14305555555555555</v>
      </c>
      <c r="G5" s="7">
        <v>206</v>
      </c>
      <c r="H5" s="7">
        <v>1</v>
      </c>
      <c r="I5" s="9">
        <v>50</v>
      </c>
    </row>
    <row r="6" spans="1:10" x14ac:dyDescent="0.2">
      <c r="A6" s="20" t="s">
        <v>3</v>
      </c>
      <c r="B6" s="21"/>
      <c r="C6" s="21"/>
      <c r="D6" s="21"/>
      <c r="E6" s="21"/>
      <c r="F6" s="21"/>
      <c r="G6" s="21"/>
      <c r="H6" s="21"/>
      <c r="I6" s="22"/>
    </row>
    <row r="7" spans="1:10" x14ac:dyDescent="0.2">
      <c r="A7" s="6" t="s">
        <v>1</v>
      </c>
      <c r="B7" s="7">
        <v>7328833</v>
      </c>
      <c r="C7" s="7">
        <v>24</v>
      </c>
      <c r="D7" s="7">
        <v>1066780</v>
      </c>
      <c r="E7" s="7">
        <f t="shared" si="0"/>
        <v>1.02</v>
      </c>
      <c r="F7" s="8">
        <v>5.9027777777777776E-2</v>
      </c>
      <c r="G7" s="7">
        <v>85</v>
      </c>
      <c r="H7" s="7">
        <f>ROUND(G3/G7, 2)</f>
        <v>1.86</v>
      </c>
      <c r="I7" s="9">
        <f>ROUND((H7/4)*100,2)</f>
        <v>46.5</v>
      </c>
    </row>
    <row r="8" spans="1:10" x14ac:dyDescent="0.2">
      <c r="A8" s="6" t="s">
        <v>2</v>
      </c>
      <c r="B8" s="7">
        <v>7328834</v>
      </c>
      <c r="C8" s="7">
        <v>36</v>
      </c>
      <c r="D8" s="7">
        <v>4102636</v>
      </c>
      <c r="E8" s="7">
        <f t="shared" si="0"/>
        <v>3.91</v>
      </c>
      <c r="F8" s="8">
        <v>0.13819444444444445</v>
      </c>
      <c r="G8" s="7">
        <v>199</v>
      </c>
      <c r="H8" s="7">
        <f>ROUND(G4/G8,2)</f>
        <v>1.86</v>
      </c>
      <c r="I8" s="9">
        <v>46.5</v>
      </c>
    </row>
    <row r="9" spans="1:10" x14ac:dyDescent="0.2">
      <c r="A9" s="6" t="s">
        <v>12</v>
      </c>
      <c r="B9" s="7">
        <v>7328835</v>
      </c>
      <c r="C9" s="7">
        <v>30</v>
      </c>
      <c r="D9" s="7">
        <v>2015328</v>
      </c>
      <c r="E9" s="7">
        <f t="shared" si="0"/>
        <v>1.92</v>
      </c>
      <c r="F9" s="8">
        <v>7.7083333333333337E-2</v>
      </c>
      <c r="G9" s="7">
        <v>111</v>
      </c>
      <c r="H9" s="7">
        <f>ROUND(G5/G9,2)</f>
        <v>1.86</v>
      </c>
      <c r="I9" s="9">
        <v>46.5</v>
      </c>
    </row>
    <row r="10" spans="1:10" x14ac:dyDescent="0.2">
      <c r="A10" s="23" t="s">
        <v>4</v>
      </c>
      <c r="B10" s="24"/>
      <c r="C10" s="24"/>
      <c r="D10" s="24"/>
      <c r="E10" s="24"/>
      <c r="F10" s="24"/>
      <c r="G10" s="24"/>
      <c r="H10" s="24"/>
      <c r="I10" s="25"/>
    </row>
    <row r="11" spans="1:10" x14ac:dyDescent="0.2">
      <c r="A11" s="10" t="s">
        <v>1</v>
      </c>
      <c r="B11" s="7">
        <v>7328865</v>
      </c>
      <c r="C11" s="7">
        <v>24</v>
      </c>
      <c r="D11" s="7">
        <v>1066888</v>
      </c>
      <c r="E11" s="7">
        <f t="shared" si="0"/>
        <v>1.02</v>
      </c>
      <c r="F11" s="8">
        <v>3.4027777777777775E-2</v>
      </c>
      <c r="G11" s="7">
        <v>49</v>
      </c>
      <c r="H11" s="7">
        <f>ROUND(G3/G11,2)</f>
        <v>3.22</v>
      </c>
      <c r="I11" s="9">
        <f>ROUND((H11/8)*100,2)</f>
        <v>40.25</v>
      </c>
    </row>
    <row r="12" spans="1:10" x14ac:dyDescent="0.2">
      <c r="A12" s="10" t="s">
        <v>2</v>
      </c>
      <c r="B12" s="7">
        <v>7328868</v>
      </c>
      <c r="C12" s="7">
        <v>36</v>
      </c>
      <c r="D12" s="7">
        <v>4167396</v>
      </c>
      <c r="E12" s="7">
        <f t="shared" si="0"/>
        <v>3.97</v>
      </c>
      <c r="F12" s="8">
        <v>7.9861111111111105E-2</v>
      </c>
      <c r="G12" s="7">
        <v>115</v>
      </c>
      <c r="H12" s="7">
        <f>ROUND(G4/G12,2)</f>
        <v>3.23</v>
      </c>
      <c r="I12" s="9">
        <f>ROUND((H12/8)*100,2)</f>
        <v>40.380000000000003</v>
      </c>
    </row>
    <row r="13" spans="1:10" x14ac:dyDescent="0.2">
      <c r="A13" s="10" t="s">
        <v>12</v>
      </c>
      <c r="B13" s="11">
        <v>7328873</v>
      </c>
      <c r="C13" s="7">
        <v>30</v>
      </c>
      <c r="D13" s="7">
        <v>2083232</v>
      </c>
      <c r="E13" s="7">
        <f t="shared" si="0"/>
        <v>1.99</v>
      </c>
      <c r="F13" s="8">
        <v>4.4444444444444446E-2</v>
      </c>
      <c r="G13" s="7">
        <v>64</v>
      </c>
      <c r="H13" s="7">
        <f>ROUND(G5/G13,2)</f>
        <v>3.22</v>
      </c>
      <c r="I13" s="9">
        <v>40.25</v>
      </c>
    </row>
    <row r="14" spans="1:10" x14ac:dyDescent="0.2">
      <c r="A14" s="26" t="s">
        <v>5</v>
      </c>
      <c r="B14" s="27"/>
      <c r="C14" s="27"/>
      <c r="D14" s="27"/>
      <c r="E14" s="27"/>
      <c r="F14" s="27"/>
      <c r="G14" s="27"/>
      <c r="H14" s="27"/>
      <c r="I14" s="28"/>
    </row>
    <row r="15" spans="1:10" x14ac:dyDescent="0.2">
      <c r="A15" s="10" t="s">
        <v>1</v>
      </c>
      <c r="B15" s="7">
        <v>7328902</v>
      </c>
      <c r="C15" s="7">
        <v>24</v>
      </c>
      <c r="D15" s="7">
        <v>1067248</v>
      </c>
      <c r="E15" s="7">
        <f t="shared" si="0"/>
        <v>1.02</v>
      </c>
      <c r="F15" s="8">
        <v>2.5000000000000001E-2</v>
      </c>
      <c r="G15" s="7">
        <v>36</v>
      </c>
      <c r="H15" s="7">
        <f>ROUND(G3/G15,2)</f>
        <v>4.3899999999999997</v>
      </c>
      <c r="I15" s="9">
        <f>ROUND((H15/16)*100,2)</f>
        <v>27.44</v>
      </c>
    </row>
    <row r="16" spans="1:10" x14ac:dyDescent="0.2">
      <c r="A16" s="10" t="s">
        <v>2</v>
      </c>
      <c r="B16" s="11">
        <v>7328903</v>
      </c>
      <c r="C16" s="7">
        <v>36</v>
      </c>
      <c r="D16" s="7">
        <v>1067576</v>
      </c>
      <c r="E16" s="7">
        <f t="shared" si="0"/>
        <v>1.02</v>
      </c>
      <c r="F16" s="8">
        <v>3.9583333333333331E-2</v>
      </c>
      <c r="G16" s="7">
        <v>57</v>
      </c>
      <c r="H16" s="7">
        <f>ROUND(G4/G16,2)</f>
        <v>6.51</v>
      </c>
      <c r="I16" s="9">
        <f>ROUND((H16/16)*100,2)</f>
        <v>40.69</v>
      </c>
    </row>
    <row r="17" spans="1:9" x14ac:dyDescent="0.2">
      <c r="A17" s="12" t="s">
        <v>12</v>
      </c>
      <c r="B17" s="13">
        <v>7328905</v>
      </c>
      <c r="C17" s="13">
        <v>30</v>
      </c>
      <c r="D17" s="13">
        <v>1067400</v>
      </c>
      <c r="E17" s="13">
        <f t="shared" si="0"/>
        <v>1.02</v>
      </c>
      <c r="F17" s="14">
        <v>2.5000000000000001E-2</v>
      </c>
      <c r="G17" s="13">
        <v>36</v>
      </c>
      <c r="H17" s="13">
        <f>ROUND(G5/G17,2)</f>
        <v>5.72</v>
      </c>
      <c r="I17" s="15">
        <f>ROUND((H17/16)*100,2)</f>
        <v>35.75</v>
      </c>
    </row>
  </sheetData>
  <mergeCells count="4">
    <mergeCell ref="A2:I2"/>
    <mergeCell ref="A6:I6"/>
    <mergeCell ref="A10:I10"/>
    <mergeCell ref="A14:I1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8232-BCE3-7A42-8289-2C30224EA066}">
  <dimension ref="A1:E13"/>
  <sheetViews>
    <sheetView workbookViewId="0">
      <selection activeCell="G32" sqref="G32"/>
    </sheetView>
  </sheetViews>
  <sheetFormatPr baseColWidth="10" defaultRowHeight="16" x14ac:dyDescent="0.2"/>
  <cols>
    <col min="3" max="3" width="15.5" customWidth="1"/>
    <col min="4" max="4" width="18.6640625" customWidth="1"/>
    <col min="5" max="5" width="17.1640625" customWidth="1"/>
  </cols>
  <sheetData>
    <row r="1" spans="1:5" x14ac:dyDescent="0.2">
      <c r="A1" t="s">
        <v>16</v>
      </c>
      <c r="B1" s="1" t="s">
        <v>17</v>
      </c>
      <c r="C1" s="1" t="s">
        <v>6</v>
      </c>
      <c r="D1" s="1" t="s">
        <v>7</v>
      </c>
      <c r="E1" s="1" t="s">
        <v>13</v>
      </c>
    </row>
    <row r="2" spans="1:5" x14ac:dyDescent="0.2">
      <c r="A2" s="29">
        <v>2</v>
      </c>
      <c r="B2" s="1" t="s">
        <v>1</v>
      </c>
      <c r="C2" s="1">
        <v>24</v>
      </c>
      <c r="D2" s="3">
        <v>0.10972222222222222</v>
      </c>
      <c r="E2" s="1">
        <v>158</v>
      </c>
    </row>
    <row r="3" spans="1:5" x14ac:dyDescent="0.2">
      <c r="A3" s="29">
        <v>2</v>
      </c>
      <c r="B3" s="1" t="s">
        <v>2</v>
      </c>
      <c r="C3" s="1">
        <v>36</v>
      </c>
      <c r="D3" s="3">
        <v>0.25763888888888886</v>
      </c>
      <c r="E3" s="1">
        <v>371</v>
      </c>
    </row>
    <row r="4" spans="1:5" x14ac:dyDescent="0.2">
      <c r="A4" s="29">
        <v>2</v>
      </c>
      <c r="B4" s="1" t="s">
        <v>12</v>
      </c>
      <c r="C4" s="1">
        <v>30</v>
      </c>
      <c r="D4" s="3">
        <v>0.14305555555555555</v>
      </c>
      <c r="E4" s="1">
        <v>206</v>
      </c>
    </row>
    <row r="5" spans="1:5" x14ac:dyDescent="0.2">
      <c r="A5" s="29">
        <v>4</v>
      </c>
      <c r="B5" s="1" t="s">
        <v>1</v>
      </c>
      <c r="C5" s="1">
        <v>24</v>
      </c>
      <c r="D5" s="3">
        <v>5.9027777777777776E-2</v>
      </c>
      <c r="E5" s="1">
        <v>85</v>
      </c>
    </row>
    <row r="6" spans="1:5" x14ac:dyDescent="0.2">
      <c r="A6" s="29">
        <v>4</v>
      </c>
      <c r="B6" s="1" t="s">
        <v>2</v>
      </c>
      <c r="C6" s="1">
        <v>36</v>
      </c>
      <c r="D6" s="3">
        <v>0.13819444444444445</v>
      </c>
      <c r="E6" s="1">
        <v>199</v>
      </c>
    </row>
    <row r="7" spans="1:5" x14ac:dyDescent="0.2">
      <c r="A7" s="29">
        <v>4</v>
      </c>
      <c r="B7" s="1" t="s">
        <v>12</v>
      </c>
      <c r="C7" s="1">
        <v>30</v>
      </c>
      <c r="D7" s="3">
        <v>7.7083333333333337E-2</v>
      </c>
      <c r="E7" s="1">
        <v>111</v>
      </c>
    </row>
    <row r="8" spans="1:5" x14ac:dyDescent="0.2">
      <c r="A8" s="29">
        <v>8</v>
      </c>
      <c r="B8" s="2" t="s">
        <v>1</v>
      </c>
      <c r="C8" s="1">
        <v>24</v>
      </c>
      <c r="D8" s="3">
        <v>3.4027777777777775E-2</v>
      </c>
      <c r="E8" s="1">
        <v>49</v>
      </c>
    </row>
    <row r="9" spans="1:5" x14ac:dyDescent="0.2">
      <c r="A9" s="29">
        <v>8</v>
      </c>
      <c r="B9" s="2" t="s">
        <v>2</v>
      </c>
      <c r="C9" s="1">
        <v>36</v>
      </c>
      <c r="D9" s="3">
        <v>7.9861111111111105E-2</v>
      </c>
      <c r="E9" s="1">
        <v>115</v>
      </c>
    </row>
    <row r="10" spans="1:5" x14ac:dyDescent="0.2">
      <c r="A10" s="29">
        <v>8</v>
      </c>
      <c r="B10" s="2" t="s">
        <v>12</v>
      </c>
      <c r="C10" s="1">
        <v>30</v>
      </c>
      <c r="D10" s="3">
        <v>4.4444444444444446E-2</v>
      </c>
      <c r="E10" s="1">
        <v>64</v>
      </c>
    </row>
    <row r="11" spans="1:5" x14ac:dyDescent="0.2">
      <c r="A11" s="29">
        <v>16</v>
      </c>
      <c r="B11" s="2" t="s">
        <v>1</v>
      </c>
      <c r="C11" s="1">
        <v>24</v>
      </c>
      <c r="D11" s="3">
        <v>2.5000000000000001E-2</v>
      </c>
      <c r="E11" s="1">
        <v>36</v>
      </c>
    </row>
    <row r="12" spans="1:5" x14ac:dyDescent="0.2">
      <c r="A12" s="29">
        <v>16</v>
      </c>
      <c r="B12" s="2" t="s">
        <v>2</v>
      </c>
      <c r="C12" s="1">
        <v>36</v>
      </c>
      <c r="D12" s="3">
        <v>3.9583333333333331E-2</v>
      </c>
      <c r="E12" s="1">
        <v>57</v>
      </c>
    </row>
    <row r="13" spans="1:5" x14ac:dyDescent="0.2">
      <c r="A13" s="29">
        <v>16</v>
      </c>
      <c r="B13" s="2" t="s">
        <v>12</v>
      </c>
      <c r="C13" s="1">
        <v>30</v>
      </c>
      <c r="D13" s="3">
        <v>2.5000000000000001E-2</v>
      </c>
      <c r="E13" s="1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Table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Pandari Kluensuwan</dc:creator>
  <cp:lastModifiedBy>Pandari Kluensuwan</cp:lastModifiedBy>
  <dcterms:created xsi:type="dcterms:W3CDTF">2026-04-04T22:04:51Z</dcterms:created>
  <dcterms:modified xsi:type="dcterms:W3CDTF">2026-04-05T21:34:39Z</dcterms:modified>
</cp:coreProperties>
</file>